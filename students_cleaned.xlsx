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9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12" customWidth="1" min="5" max="5"/>
    <col width="15" customWidth="1" min="6" max="6"/>
    <col width="15" customWidth="1" min="7" max="7"/>
    <col width="13" customWidth="1" min="8" max="8"/>
    <col width="10" customWidth="1" min="9" max="9"/>
  </cols>
  <sheetData>
    <row r="1">
      <c r="A1" s="1" t="inlineStr">
        <is>
          <t>Student_ID</t>
        </is>
      </c>
      <c r="B1" s="1" t="inlineStr">
        <is>
          <t>Gender</t>
        </is>
      </c>
      <c r="C1" s="1" t="inlineStr">
        <is>
          <t>Study_Hours</t>
        </is>
      </c>
      <c r="D1" s="1" t="inlineStr">
        <is>
          <t>Attendance_Pct</t>
        </is>
      </c>
      <c r="E1" s="1" t="inlineStr">
        <is>
          <t>Math_Score</t>
        </is>
      </c>
      <c r="F1" s="1" t="inlineStr">
        <is>
          <t>English_Score</t>
        </is>
      </c>
      <c r="G1" s="1" t="inlineStr">
        <is>
          <t>Science_Score</t>
        </is>
      </c>
      <c r="H1" s="1" t="inlineStr">
        <is>
          <t>Final_Score</t>
        </is>
      </c>
      <c r="I1" s="1" t="inlineStr">
        <is>
          <t>Grade</t>
        </is>
      </c>
    </row>
    <row r="2">
      <c r="A2" s="2" t="inlineStr">
        <is>
          <t>S001</t>
        </is>
      </c>
      <c r="B2" s="2" t="inlineStr">
        <is>
          <t>Female</t>
        </is>
      </c>
      <c r="C2" s="2" t="n">
        <v>2</v>
      </c>
      <c r="D2" s="3" t="n">
        <v>0.51</v>
      </c>
      <c r="E2" s="2" t="n">
        <v>29</v>
      </c>
      <c r="F2" s="2" t="n">
        <v>32</v>
      </c>
      <c r="G2" s="2" t="n">
        <v>22</v>
      </c>
      <c r="H2" s="2">
        <f>ROUND((E2+F2+G2)/3,1)</f>
        <v/>
      </c>
      <c r="I2" s="2">
        <f>IF(H2&gt;=80,"A",IF(H2&gt;=65,"B",IF(H2&gt;=50,"C","D")))</f>
        <v/>
      </c>
    </row>
    <row r="3">
      <c r="A3" s="4" t="inlineStr">
        <is>
          <t>S002</t>
        </is>
      </c>
      <c r="B3" s="4" t="inlineStr">
        <is>
          <t>Male</t>
        </is>
      </c>
      <c r="C3" s="4" t="n">
        <v>2</v>
      </c>
      <c r="D3" s="5" t="n">
        <v>0.93</v>
      </c>
      <c r="E3" s="4" t="n">
        <v>42</v>
      </c>
      <c r="F3" s="4" t="n">
        <v>56</v>
      </c>
      <c r="G3" s="4" t="n">
        <v>37</v>
      </c>
      <c r="H3" s="4">
        <f>ROUND((E3+F3+G3)/3,1)</f>
        <v/>
      </c>
      <c r="I3" s="4">
        <f>IF(H3&gt;=80,"A",IF(H3&gt;=65,"B",IF(H3&gt;=50,"C","D")))</f>
        <v/>
      </c>
    </row>
    <row r="4">
      <c r="A4" s="2" t="inlineStr">
        <is>
          <t>S003</t>
        </is>
      </c>
      <c r="B4" s="2" t="inlineStr">
        <is>
          <t>Female</t>
        </is>
      </c>
      <c r="C4" s="2" t="n">
        <v>1</v>
      </c>
      <c r="D4" s="3" t="n">
        <v>0.55</v>
      </c>
      <c r="E4" s="2" t="n">
        <v>29</v>
      </c>
      <c r="F4" s="2" t="n">
        <v>25</v>
      </c>
      <c r="G4" s="2" t="n">
        <v>35</v>
      </c>
      <c r="H4" s="2">
        <f>ROUND((E4+F4+G4)/3,1)</f>
        <v/>
      </c>
      <c r="I4" s="2">
        <f>IF(H4&gt;=80,"A",IF(H4&gt;=65,"B",IF(H4&gt;=50,"C","D")))</f>
        <v/>
      </c>
    </row>
    <row r="5">
      <c r="A5" s="4" t="inlineStr">
        <is>
          <t>S004</t>
        </is>
      </c>
      <c r="B5" s="4" t="inlineStr">
        <is>
          <t>Male</t>
        </is>
      </c>
      <c r="C5" s="4" t="n">
        <v>4</v>
      </c>
      <c r="D5" s="5" t="n">
        <v>0.95</v>
      </c>
      <c r="E5" s="4" t="n">
        <v>71</v>
      </c>
      <c r="F5" s="4" t="n">
        <v>68</v>
      </c>
      <c r="G5" s="4" t="n">
        <v>68</v>
      </c>
      <c r="H5" s="4">
        <f>ROUND((E5+F5+G5)/3,1)</f>
        <v/>
      </c>
      <c r="I5" s="4">
        <f>IF(H5&gt;=80,"A",IF(H5&gt;=65,"B",IF(H5&gt;=50,"C","D")))</f>
        <v/>
      </c>
    </row>
    <row r="6">
      <c r="A6" s="2" t="inlineStr">
        <is>
          <t>S005</t>
        </is>
      </c>
      <c r="B6" s="2" t="inlineStr">
        <is>
          <t>Female</t>
        </is>
      </c>
      <c r="C6" s="2" t="n">
        <v>10</v>
      </c>
      <c r="D6" s="3" t="n">
        <v>0.67</v>
      </c>
      <c r="E6" s="2" t="n">
        <v>77</v>
      </c>
      <c r="F6" s="2" t="n">
        <v>88</v>
      </c>
      <c r="G6" s="2" t="n">
        <v>78</v>
      </c>
      <c r="H6" s="2">
        <f>ROUND((E6+F6+G6)/3,1)</f>
        <v/>
      </c>
      <c r="I6" s="2">
        <f>IF(H6&gt;=80,"A",IF(H6&gt;=65,"B",IF(H6&gt;=50,"C","D")))</f>
        <v/>
      </c>
    </row>
    <row r="7">
      <c r="A7" s="4" t="inlineStr">
        <is>
          <t>S006</t>
        </is>
      </c>
      <c r="B7" s="4" t="inlineStr">
        <is>
          <t>Male</t>
        </is>
      </c>
      <c r="C7" s="4" t="n">
        <v>5</v>
      </c>
      <c r="D7" s="5" t="n">
        <v>0.59</v>
      </c>
      <c r="E7" s="4" t="n">
        <v>50</v>
      </c>
      <c r="F7" s="4" t="n">
        <v>46</v>
      </c>
      <c r="G7" s="4" t="n">
        <v>38</v>
      </c>
      <c r="H7" s="4">
        <f>ROUND((E7+F7+G7)/3,1)</f>
        <v/>
      </c>
      <c r="I7" s="4">
        <f>IF(H7&gt;=80,"A",IF(H7&gt;=65,"B",IF(H7&gt;=50,"C","D")))</f>
        <v/>
      </c>
    </row>
    <row r="8">
      <c r="A8" s="2" t="inlineStr">
        <is>
          <t>S007</t>
        </is>
      </c>
      <c r="B8" s="2" t="inlineStr">
        <is>
          <t>Female</t>
        </is>
      </c>
      <c r="C8" s="2" t="n">
        <v>7</v>
      </c>
      <c r="D8" s="3" t="n">
        <v>0.5600000000000001</v>
      </c>
      <c r="E8" s="2" t="n">
        <v>69</v>
      </c>
      <c r="F8" s="2" t="n">
        <v>69</v>
      </c>
      <c r="G8" s="2" t="n">
        <v>55</v>
      </c>
      <c r="H8" s="2">
        <f>ROUND((E8+F8+G8)/3,1)</f>
        <v/>
      </c>
      <c r="I8" s="2">
        <f>IF(H8&gt;=80,"A",IF(H8&gt;=65,"B",IF(H8&gt;=50,"C","D")))</f>
        <v/>
      </c>
    </row>
    <row r="9">
      <c r="A9" s="4" t="inlineStr">
        <is>
          <t>S008</t>
        </is>
      </c>
      <c r="B9" s="4" t="inlineStr">
        <is>
          <t>Male</t>
        </is>
      </c>
      <c r="C9" s="4" t="n">
        <v>8</v>
      </c>
      <c r="D9" s="5" t="n">
        <v>0.84</v>
      </c>
      <c r="E9" s="4" t="n">
        <v>78</v>
      </c>
      <c r="F9" s="4" t="n">
        <v>71</v>
      </c>
      <c r="G9" s="4" t="n">
        <v>79</v>
      </c>
      <c r="H9" s="4">
        <f>ROUND((E9+F9+G9)/3,1)</f>
        <v/>
      </c>
      <c r="I9" s="4">
        <f>IF(H9&gt;=80,"A",IF(H9&gt;=65,"B",IF(H9&gt;=50,"C","D")))</f>
        <v/>
      </c>
    </row>
    <row r="10">
      <c r="A10" s="2" t="inlineStr">
        <is>
          <t>S009</t>
        </is>
      </c>
      <c r="B10" s="2" t="inlineStr">
        <is>
          <t>Female</t>
        </is>
      </c>
      <c r="C10" s="2" t="n">
        <v>5</v>
      </c>
      <c r="D10" s="3" t="n">
        <v>0.9</v>
      </c>
      <c r="E10" s="2" t="n">
        <v>74</v>
      </c>
      <c r="F10" s="2" t="n">
        <v>72</v>
      </c>
      <c r="G10" s="2" t="n">
        <v>61</v>
      </c>
      <c r="H10" s="2">
        <f>ROUND((E10+F10+G10)/3,1)</f>
        <v/>
      </c>
      <c r="I10" s="2">
        <f>IF(H10&gt;=80,"A",IF(H10&gt;=65,"B",IF(H10&gt;=50,"C","D")))</f>
        <v/>
      </c>
    </row>
    <row r="11">
      <c r="A11" s="4" t="inlineStr">
        <is>
          <t>S010</t>
        </is>
      </c>
      <c r="B11" s="4" t="inlineStr">
        <is>
          <t>Male</t>
        </is>
      </c>
      <c r="C11" s="4" t="n">
        <v>1</v>
      </c>
      <c r="D11" s="5" t="n">
        <v>0.92</v>
      </c>
      <c r="E11" s="4" t="n">
        <v>32</v>
      </c>
      <c r="F11" s="4" t="n">
        <v>28</v>
      </c>
      <c r="G11" s="4" t="n">
        <v>26</v>
      </c>
      <c r="H11" s="4">
        <f>ROUND((E11+F11+G11)/3,1)</f>
        <v/>
      </c>
      <c r="I11" s="4">
        <f>IF(H11&gt;=80,"A",IF(H11&gt;=65,"B",IF(H11&gt;=50,"C","D")))</f>
        <v/>
      </c>
    </row>
    <row r="12">
      <c r="A12" s="2" t="inlineStr">
        <is>
          <t>S011</t>
        </is>
      </c>
      <c r="B12" s="2" t="inlineStr">
        <is>
          <t>Female</t>
        </is>
      </c>
      <c r="C12" s="2" t="n">
        <v>2</v>
      </c>
      <c r="D12" s="3" t="n">
        <v>0.74</v>
      </c>
      <c r="E12" s="2" t="n">
        <v>40</v>
      </c>
      <c r="F12" s="2" t="n">
        <v>40</v>
      </c>
      <c r="G12" s="2" t="n">
        <v>27</v>
      </c>
      <c r="H12" s="2">
        <f>ROUND((E12+F12+G12)/3,1)</f>
        <v/>
      </c>
      <c r="I12" s="2">
        <f>IF(H12&gt;=80,"A",IF(H12&gt;=65,"B",IF(H12&gt;=50,"C","D")))</f>
        <v/>
      </c>
    </row>
    <row r="13">
      <c r="A13" s="4" t="inlineStr">
        <is>
          <t>S012</t>
        </is>
      </c>
      <c r="B13" s="4" t="inlineStr">
        <is>
          <t>Male</t>
        </is>
      </c>
      <c r="C13" s="4" t="n">
        <v>6</v>
      </c>
      <c r="D13" s="5" t="n">
        <v>0.72</v>
      </c>
      <c r="E13" s="4" t="n">
        <v>59</v>
      </c>
      <c r="F13" s="4" t="n">
        <v>56</v>
      </c>
      <c r="G13" s="4" t="n">
        <v>52</v>
      </c>
      <c r="H13" s="4">
        <f>ROUND((E13+F13+G13)/3,1)</f>
        <v/>
      </c>
      <c r="I13" s="4">
        <f>IF(H13&gt;=80,"A",IF(H13&gt;=65,"B",IF(H13&gt;=50,"C","D")))</f>
        <v/>
      </c>
    </row>
    <row r="14">
      <c r="A14" s="2" t="inlineStr">
        <is>
          <t>S013</t>
        </is>
      </c>
      <c r="B14" s="2" t="inlineStr">
        <is>
          <t>Female</t>
        </is>
      </c>
      <c r="C14" s="2" t="n">
        <v>9</v>
      </c>
      <c r="D14" s="3" t="n">
        <v>0.96</v>
      </c>
      <c r="E14" s="2" t="n">
        <v>85</v>
      </c>
      <c r="F14" s="2" t="n">
        <v>97</v>
      </c>
      <c r="G14" s="2" t="n">
        <v>88</v>
      </c>
      <c r="H14" s="2">
        <f>ROUND((E14+F14+G14)/3,1)</f>
        <v/>
      </c>
      <c r="I14" s="2">
        <f>IF(H14&gt;=80,"A",IF(H14&gt;=65,"B",IF(H14&gt;=50,"C","D")))</f>
        <v/>
      </c>
    </row>
    <row r="15">
      <c r="A15" s="4" t="inlineStr">
        <is>
          <t>S014</t>
        </is>
      </c>
      <c r="B15" s="4" t="inlineStr">
        <is>
          <t>Male</t>
        </is>
      </c>
      <c r="C15" s="4" t="n">
        <v>5</v>
      </c>
      <c r="D15" s="5" t="n">
        <v>0.9</v>
      </c>
      <c r="E15" s="4" t="n">
        <v>68</v>
      </c>
      <c r="F15" s="4" t="n">
        <v>62</v>
      </c>
      <c r="G15" s="4" t="n">
        <v>58</v>
      </c>
      <c r="H15" s="4">
        <f>ROUND((E15+F15+G15)/3,1)</f>
        <v/>
      </c>
      <c r="I15" s="4">
        <f>IF(H15&gt;=80,"A",IF(H15&gt;=65,"B",IF(H15&gt;=50,"C","D")))</f>
        <v/>
      </c>
    </row>
    <row r="16">
      <c r="A16" s="2" t="inlineStr">
        <is>
          <t>S015</t>
        </is>
      </c>
      <c r="B16" s="2" t="inlineStr">
        <is>
          <t>Female</t>
        </is>
      </c>
      <c r="C16" s="2" t="n">
        <v>4</v>
      </c>
      <c r="D16" s="3" t="n">
        <v>0.52</v>
      </c>
      <c r="E16" s="2" t="n">
        <v>47</v>
      </c>
      <c r="F16" s="2" t="n">
        <v>46</v>
      </c>
      <c r="G16" s="2" t="n">
        <v>33</v>
      </c>
      <c r="H16" s="2">
        <f>ROUND((E16+F16+G16)/3,1)</f>
        <v/>
      </c>
      <c r="I16" s="2">
        <f>IF(H16&gt;=80,"A",IF(H16&gt;=65,"B",IF(H16&gt;=50,"C","D")))</f>
        <v/>
      </c>
    </row>
    <row r="17">
      <c r="A17" s="4" t="inlineStr">
        <is>
          <t>S016</t>
        </is>
      </c>
      <c r="B17" s="4" t="inlineStr">
        <is>
          <t>Male</t>
        </is>
      </c>
      <c r="C17" s="4" t="n">
        <v>4</v>
      </c>
      <c r="D17" s="5" t="n">
        <v>0.86</v>
      </c>
      <c r="E17" s="4" t="n">
        <v>51</v>
      </c>
      <c r="F17" s="4" t="n">
        <v>63</v>
      </c>
      <c r="G17" s="4" t="n">
        <v>53</v>
      </c>
      <c r="H17" s="4">
        <f>ROUND((E17+F17+G17)/3,1)</f>
        <v/>
      </c>
      <c r="I17" s="4">
        <f>IF(H17&gt;=80,"A",IF(H17&gt;=65,"B",IF(H17&gt;=50,"C","D")))</f>
        <v/>
      </c>
    </row>
    <row r="18">
      <c r="A18" s="2" t="inlineStr">
        <is>
          <t>S017</t>
        </is>
      </c>
      <c r="B18" s="2" t="inlineStr">
        <is>
          <t>Female</t>
        </is>
      </c>
      <c r="C18" s="2" t="n">
        <v>8</v>
      </c>
      <c r="D18" s="3" t="n">
        <v>0.59</v>
      </c>
      <c r="E18" s="2" t="n">
        <v>67</v>
      </c>
      <c r="F18" s="2" t="n">
        <v>73</v>
      </c>
      <c r="G18" s="2" t="n">
        <v>76</v>
      </c>
      <c r="H18" s="2">
        <f>ROUND((E18+F18+G18)/3,1)</f>
        <v/>
      </c>
      <c r="I18" s="2">
        <f>IF(H18&gt;=80,"A",IF(H18&gt;=65,"B",IF(H18&gt;=50,"C","D")))</f>
        <v/>
      </c>
    </row>
    <row r="19">
      <c r="A19" s="4" t="inlineStr">
        <is>
          <t>S018</t>
        </is>
      </c>
      <c r="B19" s="4" t="inlineStr">
        <is>
          <t>Male</t>
        </is>
      </c>
      <c r="C19" s="4" t="n">
        <v>9</v>
      </c>
      <c r="D19" s="5" t="n">
        <v>0.66</v>
      </c>
      <c r="E19" s="4" t="n">
        <v>95</v>
      </c>
      <c r="F19" s="4" t="n">
        <v>97</v>
      </c>
      <c r="G19" s="4" t="n">
        <v>89</v>
      </c>
      <c r="H19" s="4">
        <f>ROUND((E19+F19+G19)/3,1)</f>
        <v/>
      </c>
      <c r="I19" s="4">
        <f>IF(H19&gt;=80,"A",IF(H19&gt;=65,"B",IF(H19&gt;=50,"C","D")))</f>
        <v/>
      </c>
    </row>
    <row r="20">
      <c r="A20" s="2" t="inlineStr">
        <is>
          <t>S019</t>
        </is>
      </c>
      <c r="B20" s="2" t="inlineStr">
        <is>
          <t>Female</t>
        </is>
      </c>
      <c r="C20" s="2" t="n">
        <v>4</v>
      </c>
      <c r="D20" s="3" t="n">
        <v>0.58</v>
      </c>
      <c r="E20" s="2" t="n">
        <v>58</v>
      </c>
      <c r="F20" s="2" t="n">
        <v>48</v>
      </c>
      <c r="G20" s="2" t="n">
        <v>40</v>
      </c>
      <c r="H20" s="2">
        <f>ROUND((E20+F20+G20)/3,1)</f>
        <v/>
      </c>
      <c r="I20" s="2">
        <f>IF(H20&gt;=80,"A",IF(H20&gt;=65,"B",IF(H20&gt;=50,"C","D")))</f>
        <v/>
      </c>
    </row>
    <row r="21">
      <c r="A21" s="4" t="inlineStr">
        <is>
          <t>S020</t>
        </is>
      </c>
      <c r="B21" s="4" t="inlineStr">
        <is>
          <t>Male</t>
        </is>
      </c>
      <c r="C21" s="4" t="n">
        <v>2</v>
      </c>
      <c r="D21" s="5" t="n">
        <v>0.59</v>
      </c>
      <c r="E21" s="4" t="n">
        <v>38</v>
      </c>
      <c r="F21" s="4" t="n">
        <v>49</v>
      </c>
      <c r="G21" s="4" t="n">
        <v>31</v>
      </c>
      <c r="H21" s="4">
        <f>ROUND((E21+F21+G21)/3,1)</f>
        <v/>
      </c>
      <c r="I21" s="4">
        <f>IF(H21&gt;=80,"A",IF(H21&gt;=65,"B",IF(H21&gt;=50,"C","D")))</f>
        <v/>
      </c>
    </row>
    <row r="22">
      <c r="A22" s="2" t="inlineStr">
        <is>
          <t>S021</t>
        </is>
      </c>
      <c r="B22" s="2" t="inlineStr">
        <is>
          <t>Female</t>
        </is>
      </c>
      <c r="C22" s="2" t="n">
        <v>7</v>
      </c>
      <c r="D22" s="3" t="n">
        <v>0.74</v>
      </c>
      <c r="E22" s="2" t="n">
        <v>86</v>
      </c>
      <c r="F22" s="2" t="n">
        <v>83</v>
      </c>
      <c r="G22" s="2" t="n">
        <v>85</v>
      </c>
      <c r="H22" s="2">
        <f>ROUND((E22+F22+G22)/3,1)</f>
        <v/>
      </c>
      <c r="I22" s="2">
        <f>IF(H22&gt;=80,"A",IF(H22&gt;=65,"B",IF(H22&gt;=50,"C","D")))</f>
        <v/>
      </c>
    </row>
    <row r="23">
      <c r="A23" s="4" t="inlineStr">
        <is>
          <t>S022</t>
        </is>
      </c>
      <c r="B23" s="4" t="inlineStr">
        <is>
          <t>Male</t>
        </is>
      </c>
      <c r="C23" s="4" t="n">
        <v>1</v>
      </c>
      <c r="D23" s="5" t="n">
        <v>0.93</v>
      </c>
      <c r="E23" s="4" t="n">
        <v>30</v>
      </c>
      <c r="F23" s="4" t="n">
        <v>35</v>
      </c>
      <c r="G23" s="4" t="n">
        <v>21</v>
      </c>
      <c r="H23" s="4">
        <f>ROUND((E23+F23+G23)/3,1)</f>
        <v/>
      </c>
      <c r="I23" s="4">
        <f>IF(H23&gt;=80,"A",IF(H23&gt;=65,"B",IF(H23&gt;=50,"C","D")))</f>
        <v/>
      </c>
    </row>
    <row r="24">
      <c r="A24" s="2" t="inlineStr">
        <is>
          <t>S023</t>
        </is>
      </c>
      <c r="B24" s="2" t="inlineStr">
        <is>
          <t>Female</t>
        </is>
      </c>
      <c r="C24" s="2" t="n">
        <v>5</v>
      </c>
      <c r="D24" s="3" t="n">
        <v>0.77</v>
      </c>
      <c r="E24" s="2" t="n">
        <v>59</v>
      </c>
      <c r="F24" s="2" t="n">
        <v>48</v>
      </c>
      <c r="G24" s="2" t="n">
        <v>55</v>
      </c>
      <c r="H24" s="2">
        <f>ROUND((E24+F24+G24)/3,1)</f>
        <v/>
      </c>
      <c r="I24" s="2">
        <f>IF(H24&gt;=80,"A",IF(H24&gt;=65,"B",IF(H24&gt;=50,"C","D")))</f>
        <v/>
      </c>
    </row>
    <row r="25">
      <c r="A25" s="4" t="inlineStr">
        <is>
          <t>S024</t>
        </is>
      </c>
      <c r="B25" s="4" t="inlineStr">
        <is>
          <t>Male</t>
        </is>
      </c>
      <c r="C25" s="4" t="n">
        <v>9</v>
      </c>
      <c r="D25" s="5" t="n">
        <v>0.98</v>
      </c>
      <c r="E25" s="4" t="n">
        <v>95</v>
      </c>
      <c r="F25" s="4" t="n">
        <v>85</v>
      </c>
      <c r="G25" s="4" t="n">
        <v>84</v>
      </c>
      <c r="H25" s="4">
        <f>ROUND((E25+F25+G25)/3,1)</f>
        <v/>
      </c>
      <c r="I25" s="4">
        <f>IF(H25&gt;=80,"A",IF(H25&gt;=65,"B",IF(H25&gt;=50,"C","D")))</f>
        <v/>
      </c>
    </row>
    <row r="26">
      <c r="A26" s="2" t="inlineStr">
        <is>
          <t>S025</t>
        </is>
      </c>
      <c r="B26" s="2" t="inlineStr">
        <is>
          <t>Female</t>
        </is>
      </c>
      <c r="C26" s="2" t="n">
        <v>9</v>
      </c>
      <c r="D26" s="3" t="n">
        <v>0.88</v>
      </c>
      <c r="E26" s="2" t="n">
        <v>81</v>
      </c>
      <c r="F26" s="2" t="n">
        <v>91</v>
      </c>
      <c r="G26" s="2" t="n">
        <v>78</v>
      </c>
      <c r="H26" s="2">
        <f>ROUND((E26+F26+G26)/3,1)</f>
        <v/>
      </c>
      <c r="I26" s="2">
        <f>IF(H26&gt;=80,"A",IF(H26&gt;=65,"B",IF(H26&gt;=50,"C","D")))</f>
        <v/>
      </c>
    </row>
    <row r="27">
      <c r="A27" s="4" t="inlineStr">
        <is>
          <t>S026</t>
        </is>
      </c>
      <c r="B27" s="4" t="inlineStr">
        <is>
          <t>Male</t>
        </is>
      </c>
      <c r="C27" s="4" t="n">
        <v>9</v>
      </c>
      <c r="D27" s="5" t="n">
        <v>0.99</v>
      </c>
      <c r="E27" s="4" t="n">
        <v>90</v>
      </c>
      <c r="F27" s="4" t="n">
        <v>100</v>
      </c>
      <c r="G27" s="4" t="n">
        <v>100</v>
      </c>
      <c r="H27" s="4">
        <f>ROUND((E27+F27+G27)/3,1)</f>
        <v/>
      </c>
      <c r="I27" s="4">
        <f>IF(H27&gt;=80,"A",IF(H27&gt;=65,"B",IF(H27&gt;=50,"C","D")))</f>
        <v/>
      </c>
    </row>
    <row r="28">
      <c r="A28" s="2" t="inlineStr">
        <is>
          <t>S027</t>
        </is>
      </c>
      <c r="B28" s="2" t="inlineStr">
        <is>
          <t>Female</t>
        </is>
      </c>
      <c r="C28" s="2" t="n">
        <v>1</v>
      </c>
      <c r="D28" s="3" t="n">
        <v>0.57</v>
      </c>
      <c r="E28" s="2" t="n">
        <v>31</v>
      </c>
      <c r="F28" s="2" t="n">
        <v>32</v>
      </c>
      <c r="G28" s="2" t="n">
        <v>20</v>
      </c>
      <c r="H28" s="2">
        <f>ROUND((E28+F28+G28)/3,1)</f>
        <v/>
      </c>
      <c r="I28" s="2">
        <f>IF(H28&gt;=80,"A",IF(H28&gt;=65,"B",IF(H28&gt;=50,"C","D")))</f>
        <v/>
      </c>
    </row>
    <row r="29">
      <c r="A29" s="4" t="inlineStr">
        <is>
          <t>S028</t>
        </is>
      </c>
      <c r="B29" s="4" t="inlineStr">
        <is>
          <t>Male</t>
        </is>
      </c>
      <c r="C29" s="4" t="n">
        <v>4</v>
      </c>
      <c r="D29" s="5" t="n">
        <v>0.86</v>
      </c>
      <c r="E29" s="4" t="n">
        <v>39</v>
      </c>
      <c r="F29" s="4" t="n">
        <v>55</v>
      </c>
      <c r="G29" s="4" t="n">
        <v>35</v>
      </c>
      <c r="H29" s="4">
        <f>ROUND((E29+F29+G29)/3,1)</f>
        <v/>
      </c>
      <c r="I29" s="4">
        <f>IF(H29&gt;=80,"A",IF(H29&gt;=65,"B",IF(H29&gt;=50,"C","D")))</f>
        <v/>
      </c>
    </row>
    <row r="30">
      <c r="A30" s="2" t="inlineStr">
        <is>
          <t>S029</t>
        </is>
      </c>
      <c r="B30" s="2" t="inlineStr">
        <is>
          <t>Female</t>
        </is>
      </c>
      <c r="C30" s="2" t="n">
        <v>9</v>
      </c>
      <c r="D30" s="3" t="n">
        <v>0.99</v>
      </c>
      <c r="E30" s="2" t="n">
        <v>82</v>
      </c>
      <c r="F30" s="2" t="n">
        <v>96</v>
      </c>
      <c r="G30" s="2" t="n">
        <v>91</v>
      </c>
      <c r="H30" s="2">
        <f>ROUND((E30+F30+G30)/3,1)</f>
        <v/>
      </c>
      <c r="I30" s="2">
        <f>IF(H30&gt;=80,"A",IF(H30&gt;=65,"B",IF(H30&gt;=50,"C","D")))</f>
        <v/>
      </c>
    </row>
    <row r="31">
      <c r="A31" s="4" t="inlineStr">
        <is>
          <t>S030</t>
        </is>
      </c>
      <c r="B31" s="4" t="inlineStr">
        <is>
          <t>Male</t>
        </is>
      </c>
      <c r="C31" s="4" t="n">
        <v>3</v>
      </c>
      <c r="D31" s="5" t="n">
        <v>0.66</v>
      </c>
      <c r="E31" s="4" t="n">
        <v>51</v>
      </c>
      <c r="F31" s="4" t="n">
        <v>47</v>
      </c>
      <c r="G31" s="4" t="n">
        <v>51</v>
      </c>
      <c r="H31" s="4">
        <f>ROUND((E31+F31+G31)/3,1)</f>
        <v/>
      </c>
      <c r="I31" s="4">
        <f>IF(H31&gt;=80,"A",IF(H31&gt;=65,"B",IF(H31&gt;=50,"C","D")))</f>
        <v/>
      </c>
    </row>
    <row r="32">
      <c r="A32" s="2" t="inlineStr">
        <is>
          <t>S031</t>
        </is>
      </c>
      <c r="B32" s="2" t="inlineStr">
        <is>
          <t>Female</t>
        </is>
      </c>
      <c r="C32" s="2" t="n">
        <v>4</v>
      </c>
      <c r="D32" s="3" t="n">
        <v>0.95</v>
      </c>
      <c r="E32" s="2" t="n">
        <v>59</v>
      </c>
      <c r="F32" s="2" t="n">
        <v>61</v>
      </c>
      <c r="G32" s="2" t="n">
        <v>57</v>
      </c>
      <c r="H32" s="2">
        <f>ROUND((E32+F32+G32)/3,1)</f>
        <v/>
      </c>
      <c r="I32" s="2">
        <f>IF(H32&gt;=80,"A",IF(H32&gt;=65,"B",IF(H32&gt;=50,"C","D")))</f>
        <v/>
      </c>
    </row>
    <row r="33">
      <c r="A33" s="4" t="inlineStr">
        <is>
          <t>S032</t>
        </is>
      </c>
      <c r="B33" s="4" t="inlineStr">
        <is>
          <t>Male</t>
        </is>
      </c>
      <c r="C33" s="4" t="n">
        <v>9</v>
      </c>
      <c r="D33" s="5" t="n">
        <v>0.78</v>
      </c>
      <c r="E33" s="4" t="n">
        <v>78</v>
      </c>
      <c r="F33" s="4" t="n">
        <v>81</v>
      </c>
      <c r="G33" s="4" t="n">
        <v>69</v>
      </c>
      <c r="H33" s="4">
        <f>ROUND((E33+F33+G33)/3,1)</f>
        <v/>
      </c>
      <c r="I33" s="4">
        <f>IF(H33&gt;=80,"A",IF(H33&gt;=65,"B",IF(H33&gt;=50,"C","D")))</f>
        <v/>
      </c>
    </row>
    <row r="34">
      <c r="A34" s="2" t="inlineStr">
        <is>
          <t>S033</t>
        </is>
      </c>
      <c r="B34" s="2" t="inlineStr">
        <is>
          <t>Female</t>
        </is>
      </c>
      <c r="C34" s="2" t="n">
        <v>6</v>
      </c>
      <c r="D34" s="3" t="n">
        <v>0.51</v>
      </c>
      <c r="E34" s="2" t="n">
        <v>64</v>
      </c>
      <c r="F34" s="2" t="n">
        <v>67</v>
      </c>
      <c r="G34" s="2" t="n">
        <v>53</v>
      </c>
      <c r="H34" s="2">
        <f>ROUND((E34+F34+G34)/3,1)</f>
        <v/>
      </c>
      <c r="I34" s="2">
        <f>IF(H34&gt;=80,"A",IF(H34&gt;=65,"B",IF(H34&gt;=50,"C","D")))</f>
        <v/>
      </c>
    </row>
    <row r="35">
      <c r="A35" s="4" t="inlineStr">
        <is>
          <t>S034</t>
        </is>
      </c>
      <c r="B35" s="4" t="inlineStr">
        <is>
          <t>Male</t>
        </is>
      </c>
      <c r="C35" s="4" t="n">
        <v>2</v>
      </c>
      <c r="D35" s="5" t="n">
        <v>0.95</v>
      </c>
      <c r="E35" s="4" t="n">
        <v>45</v>
      </c>
      <c r="F35" s="4" t="n">
        <v>54</v>
      </c>
      <c r="G35" s="4" t="n">
        <v>42</v>
      </c>
      <c r="H35" s="4">
        <f>ROUND((E35+F35+G35)/3,1)</f>
        <v/>
      </c>
      <c r="I35" s="4">
        <f>IF(H35&gt;=80,"A",IF(H35&gt;=65,"B",IF(H35&gt;=50,"C","D")))</f>
        <v/>
      </c>
    </row>
    <row r="36">
      <c r="A36" s="2" t="inlineStr">
        <is>
          <t>S035</t>
        </is>
      </c>
      <c r="B36" s="2" t="inlineStr">
        <is>
          <t>Female</t>
        </is>
      </c>
      <c r="C36" s="2" t="n">
        <v>1</v>
      </c>
      <c r="D36" s="3" t="n">
        <v>0.71</v>
      </c>
      <c r="E36" s="2" t="n">
        <v>38</v>
      </c>
      <c r="F36" s="2" t="n">
        <v>32</v>
      </c>
      <c r="G36" s="2" t="n">
        <v>26</v>
      </c>
      <c r="H36" s="2">
        <f>ROUND((E36+F36+G36)/3,1)</f>
        <v/>
      </c>
      <c r="I36" s="2">
        <f>IF(H36&gt;=80,"A",IF(H36&gt;=65,"B",IF(H36&gt;=50,"C","D")))</f>
        <v/>
      </c>
    </row>
    <row r="37">
      <c r="A37" s="4" t="inlineStr">
        <is>
          <t>S036</t>
        </is>
      </c>
      <c r="B37" s="4" t="inlineStr">
        <is>
          <t>Male</t>
        </is>
      </c>
      <c r="C37" s="4" t="n">
        <v>8</v>
      </c>
      <c r="D37" s="5" t="n">
        <v>0.63</v>
      </c>
      <c r="E37" s="4" t="n">
        <v>77</v>
      </c>
      <c r="F37" s="4" t="n">
        <v>91</v>
      </c>
      <c r="G37" s="4" t="n">
        <v>76</v>
      </c>
      <c r="H37" s="4">
        <f>ROUND((E37+F37+G37)/3,1)</f>
        <v/>
      </c>
      <c r="I37" s="4">
        <f>IF(H37&gt;=80,"A",IF(H37&gt;=65,"B",IF(H37&gt;=50,"C","D")))</f>
        <v/>
      </c>
    </row>
    <row r="38">
      <c r="A38" s="2" t="inlineStr">
        <is>
          <t>S037</t>
        </is>
      </c>
      <c r="B38" s="2" t="inlineStr">
        <is>
          <t>Female</t>
        </is>
      </c>
      <c r="C38" s="2" t="n">
        <v>8</v>
      </c>
      <c r="D38" s="3" t="n">
        <v>0.76</v>
      </c>
      <c r="E38" s="2" t="n">
        <v>69</v>
      </c>
      <c r="F38" s="2" t="n">
        <v>72</v>
      </c>
      <c r="G38" s="2" t="n">
        <v>75</v>
      </c>
      <c r="H38" s="2">
        <f>ROUND((E38+F38+G38)/3,1)</f>
        <v/>
      </c>
      <c r="I38" s="2">
        <f>IF(H38&gt;=80,"A",IF(H38&gt;=65,"B",IF(H38&gt;=50,"C","D")))</f>
        <v/>
      </c>
    </row>
    <row r="39">
      <c r="A39" s="4" t="inlineStr">
        <is>
          <t>S038</t>
        </is>
      </c>
      <c r="B39" s="4" t="inlineStr">
        <is>
          <t>Male</t>
        </is>
      </c>
      <c r="C39" s="4" t="n">
        <v>6</v>
      </c>
      <c r="D39" s="5" t="n">
        <v>0.77</v>
      </c>
      <c r="E39" s="4" t="n">
        <v>74</v>
      </c>
      <c r="F39" s="4" t="n">
        <v>62</v>
      </c>
      <c r="G39" s="4" t="n">
        <v>59</v>
      </c>
      <c r="H39" s="4">
        <f>ROUND((E39+F39+G39)/3,1)</f>
        <v/>
      </c>
      <c r="I39" s="4">
        <f>IF(H39&gt;=80,"A",IF(H39&gt;=65,"B",IF(H39&gt;=50,"C","D")))</f>
        <v/>
      </c>
    </row>
    <row r="40">
      <c r="A40" s="2" t="inlineStr">
        <is>
          <t>S039</t>
        </is>
      </c>
      <c r="B40" s="2" t="inlineStr">
        <is>
          <t>Female</t>
        </is>
      </c>
      <c r="C40" s="2" t="n">
        <v>1</v>
      </c>
      <c r="D40" s="3" t="n">
        <v>0.75</v>
      </c>
      <c r="E40" s="2" t="n">
        <v>25</v>
      </c>
      <c r="F40" s="2" t="n">
        <v>32</v>
      </c>
      <c r="G40" s="2" t="n">
        <v>24</v>
      </c>
      <c r="H40" s="2">
        <f>ROUND((E40+F40+G40)/3,1)</f>
        <v/>
      </c>
      <c r="I40" s="2">
        <f>IF(H40&gt;=80,"A",IF(H40&gt;=65,"B",IF(H40&gt;=50,"C","D")))</f>
        <v/>
      </c>
    </row>
    <row r="41">
      <c r="A41" s="4" t="inlineStr">
        <is>
          <t>S040</t>
        </is>
      </c>
      <c r="B41" s="4" t="inlineStr">
        <is>
          <t>Male</t>
        </is>
      </c>
      <c r="C41" s="4" t="n">
        <v>4</v>
      </c>
      <c r="D41" s="5" t="n">
        <v>0.84</v>
      </c>
      <c r="E41" s="4" t="n">
        <v>53</v>
      </c>
      <c r="F41" s="4" t="n">
        <v>65</v>
      </c>
      <c r="G41" s="4" t="n">
        <v>50</v>
      </c>
      <c r="H41" s="4">
        <f>ROUND((E41+F41+G41)/3,1)</f>
        <v/>
      </c>
      <c r="I41" s="4">
        <f>IF(H41&gt;=80,"A",IF(H41&gt;=65,"B",IF(H41&gt;=50,"C","D")))</f>
        <v/>
      </c>
    </row>
    <row r="42">
      <c r="A42" s="2" t="inlineStr">
        <is>
          <t>S041</t>
        </is>
      </c>
      <c r="B42" s="2" t="inlineStr">
        <is>
          <t>Female</t>
        </is>
      </c>
      <c r="C42" s="2" t="n">
        <v>5</v>
      </c>
      <c r="D42" s="3" t="n">
        <v>0.79</v>
      </c>
      <c r="E42" s="2" t="n">
        <v>49</v>
      </c>
      <c r="F42" s="2" t="n">
        <v>64</v>
      </c>
      <c r="G42" s="2" t="n">
        <v>60</v>
      </c>
      <c r="H42" s="2">
        <f>ROUND((E42+F42+G42)/3,1)</f>
        <v/>
      </c>
      <c r="I42" s="2">
        <f>IF(H42&gt;=80,"A",IF(H42&gt;=65,"B",IF(H42&gt;=50,"C","D")))</f>
        <v/>
      </c>
    </row>
    <row r="43">
      <c r="A43" s="4" t="inlineStr">
        <is>
          <t>S042</t>
        </is>
      </c>
      <c r="B43" s="4" t="inlineStr">
        <is>
          <t>Male</t>
        </is>
      </c>
      <c r="C43" s="4" t="n">
        <v>2</v>
      </c>
      <c r="D43" s="5" t="n">
        <v>0.53</v>
      </c>
      <c r="E43" s="4" t="n">
        <v>31</v>
      </c>
      <c r="F43" s="4" t="n">
        <v>36</v>
      </c>
      <c r="G43" s="4" t="n">
        <v>34</v>
      </c>
      <c r="H43" s="4">
        <f>ROUND((E43+F43+G43)/3,1)</f>
        <v/>
      </c>
      <c r="I43" s="4">
        <f>IF(H43&gt;=80,"A",IF(H43&gt;=65,"B",IF(H43&gt;=50,"C","D")))</f>
        <v/>
      </c>
    </row>
    <row r="44">
      <c r="A44" s="2" t="inlineStr">
        <is>
          <t>S043</t>
        </is>
      </c>
      <c r="B44" s="2" t="inlineStr">
        <is>
          <t>Female</t>
        </is>
      </c>
      <c r="C44" s="2" t="n">
        <v>3</v>
      </c>
      <c r="D44" s="3" t="n">
        <v>0.76</v>
      </c>
      <c r="E44" s="2" t="n">
        <v>55</v>
      </c>
      <c r="F44" s="2" t="n">
        <v>49</v>
      </c>
      <c r="G44" s="2" t="n">
        <v>48</v>
      </c>
      <c r="H44" s="2">
        <f>ROUND((E44+F44+G44)/3,1)</f>
        <v/>
      </c>
      <c r="I44" s="2">
        <f>IF(H44&gt;=80,"A",IF(H44&gt;=65,"B",IF(H44&gt;=50,"C","D")))</f>
        <v/>
      </c>
    </row>
    <row r="45">
      <c r="A45" s="4" t="inlineStr">
        <is>
          <t>S044</t>
        </is>
      </c>
      <c r="B45" s="4" t="inlineStr">
        <is>
          <t>Male</t>
        </is>
      </c>
      <c r="C45" s="4" t="n">
        <v>1</v>
      </c>
      <c r="D45" s="5" t="n">
        <v>0.6</v>
      </c>
      <c r="E45" s="4" t="n">
        <v>22</v>
      </c>
      <c r="F45" s="4" t="n">
        <v>37</v>
      </c>
      <c r="G45" s="4" t="n">
        <v>26</v>
      </c>
      <c r="H45" s="4">
        <f>ROUND((E45+F45+G45)/3,1)</f>
        <v/>
      </c>
      <c r="I45" s="4">
        <f>IF(H45&gt;=80,"A",IF(H45&gt;=65,"B",IF(H45&gt;=50,"C","D")))</f>
        <v/>
      </c>
    </row>
    <row r="46">
      <c r="A46" s="2" t="inlineStr">
        <is>
          <t>S045</t>
        </is>
      </c>
      <c r="B46" s="2" t="inlineStr">
        <is>
          <t>Female</t>
        </is>
      </c>
      <c r="C46" s="2" t="n">
        <v>8</v>
      </c>
      <c r="D46" s="3" t="n">
        <v>0.68</v>
      </c>
      <c r="E46" s="2" t="n">
        <v>86</v>
      </c>
      <c r="F46" s="2" t="n">
        <v>78</v>
      </c>
      <c r="G46" s="2" t="n">
        <v>55</v>
      </c>
      <c r="H46" s="2">
        <f>ROUND((E46+F46+G46)/3,1)</f>
        <v/>
      </c>
      <c r="I46" s="2">
        <f>IF(H46&gt;=80,"A",IF(H46&gt;=65,"B",IF(H46&gt;=50,"C","D")))</f>
        <v/>
      </c>
    </row>
    <row r="47">
      <c r="A47" s="4" t="inlineStr">
        <is>
          <t>S046</t>
        </is>
      </c>
      <c r="B47" s="4" t="inlineStr">
        <is>
          <t>Male</t>
        </is>
      </c>
      <c r="C47" s="4" t="n">
        <v>5</v>
      </c>
      <c r="D47" s="5" t="n">
        <v>0.63</v>
      </c>
      <c r="E47" s="4" t="n">
        <v>37</v>
      </c>
      <c r="F47" s="4" t="n">
        <v>49</v>
      </c>
      <c r="G47" s="4" t="n">
        <v>33</v>
      </c>
      <c r="H47" s="4">
        <f>ROUND((E47+F47+G47)/3,1)</f>
        <v/>
      </c>
      <c r="I47" s="4">
        <f>IF(H47&gt;=80,"A",IF(H47&gt;=65,"B",IF(H47&gt;=50,"C","D")))</f>
        <v/>
      </c>
    </row>
    <row r="48">
      <c r="A48" s="2" t="inlineStr">
        <is>
          <t>S047</t>
        </is>
      </c>
      <c r="B48" s="2" t="inlineStr">
        <is>
          <t>Female</t>
        </is>
      </c>
      <c r="C48" s="2" t="n">
        <v>1</v>
      </c>
      <c r="D48" s="3" t="n">
        <v>0.87</v>
      </c>
      <c r="E48" s="2" t="n">
        <v>46</v>
      </c>
      <c r="F48" s="2" t="n">
        <v>38</v>
      </c>
      <c r="G48" s="2" t="n">
        <v>27</v>
      </c>
      <c r="H48" s="2">
        <f>ROUND((E48+F48+G48)/3,1)</f>
        <v/>
      </c>
      <c r="I48" s="2">
        <f>IF(H48&gt;=80,"A",IF(H48&gt;=65,"B",IF(H48&gt;=50,"C","D")))</f>
        <v/>
      </c>
    </row>
    <row r="49">
      <c r="A49" s="4" t="inlineStr">
        <is>
          <t>S048</t>
        </is>
      </c>
      <c r="B49" s="4" t="inlineStr">
        <is>
          <t>Male</t>
        </is>
      </c>
      <c r="C49" s="4" t="n">
        <v>9</v>
      </c>
      <c r="D49" s="5" t="n">
        <v>0.55</v>
      </c>
      <c r="E49" s="4" t="n">
        <v>68</v>
      </c>
      <c r="F49" s="4" t="n">
        <v>71</v>
      </c>
      <c r="G49" s="4" t="n">
        <v>69</v>
      </c>
      <c r="H49" s="4">
        <f>ROUND((E49+F49+G49)/3,1)</f>
        <v/>
      </c>
      <c r="I49" s="4">
        <f>IF(H49&gt;=80,"A",IF(H49&gt;=65,"B",IF(H49&gt;=50,"C","D")))</f>
        <v/>
      </c>
    </row>
    <row r="50">
      <c r="A50" s="2" t="inlineStr">
        <is>
          <t>S049</t>
        </is>
      </c>
      <c r="B50" s="2" t="inlineStr">
        <is>
          <t>Female</t>
        </is>
      </c>
      <c r="C50" s="2" t="n">
        <v>7</v>
      </c>
      <c r="D50" s="3" t="n">
        <v>0.57</v>
      </c>
      <c r="E50" s="2" t="n">
        <v>73</v>
      </c>
      <c r="F50" s="2" t="n">
        <v>70</v>
      </c>
      <c r="G50" s="2" t="n">
        <v>64</v>
      </c>
      <c r="H50" s="2">
        <f>ROUND((E50+F50+G50)/3,1)</f>
        <v/>
      </c>
      <c r="I50" s="2">
        <f>IF(H50&gt;=80,"A",IF(H50&gt;=65,"B",IF(H50&gt;=50,"C","D")))</f>
        <v/>
      </c>
    </row>
    <row r="51">
      <c r="A51" s="4" t="inlineStr">
        <is>
          <t>S050</t>
        </is>
      </c>
      <c r="B51" s="4" t="inlineStr">
        <is>
          <t>Male</t>
        </is>
      </c>
      <c r="C51" s="4" t="n">
        <v>7</v>
      </c>
      <c r="D51" s="5" t="n">
        <v>0.92</v>
      </c>
      <c r="E51" s="4" t="n">
        <v>92</v>
      </c>
      <c r="F51" s="4" t="n">
        <v>89</v>
      </c>
      <c r="G51" s="4" t="n">
        <v>80</v>
      </c>
      <c r="H51" s="4">
        <f>ROUND((E51+F51+G51)/3,1)</f>
        <v/>
      </c>
      <c r="I51" s="4">
        <f>IF(H51&gt;=80,"A",IF(H51&gt;=65,"B",IF(H51&gt;=50,"C","D")))</f>
        <v/>
      </c>
    </row>
    <row r="52">
      <c r="A52" s="2" t="inlineStr">
        <is>
          <t>S051</t>
        </is>
      </c>
      <c r="B52" s="2" t="inlineStr">
        <is>
          <t>Female</t>
        </is>
      </c>
      <c r="C52" s="2" t="n">
        <v>4</v>
      </c>
      <c r="D52" s="3" t="n">
        <v>0.92</v>
      </c>
      <c r="E52" s="2" t="n">
        <v>54</v>
      </c>
      <c r="F52" s="2" t="n">
        <v>58</v>
      </c>
      <c r="G52" s="2" t="n">
        <v>55</v>
      </c>
      <c r="H52" s="2">
        <f>ROUND((E52+F52+G52)/3,1)</f>
        <v/>
      </c>
      <c r="I52" s="2">
        <f>IF(H52&gt;=80,"A",IF(H52&gt;=65,"B",IF(H52&gt;=50,"C","D")))</f>
        <v/>
      </c>
    </row>
    <row r="53">
      <c r="A53" s="4" t="inlineStr">
        <is>
          <t>S052</t>
        </is>
      </c>
      <c r="B53" s="4" t="inlineStr">
        <is>
          <t>Male</t>
        </is>
      </c>
      <c r="C53" s="4" t="n">
        <v>3</v>
      </c>
      <c r="D53" s="5" t="n">
        <v>0.92</v>
      </c>
      <c r="E53" s="4" t="n">
        <v>59</v>
      </c>
      <c r="F53" s="4" t="n">
        <v>67</v>
      </c>
      <c r="G53" s="4" t="n">
        <v>56</v>
      </c>
      <c r="H53" s="4">
        <f>ROUND((E53+F53+G53)/3,1)</f>
        <v/>
      </c>
      <c r="I53" s="4">
        <f>IF(H53&gt;=80,"A",IF(H53&gt;=65,"B",IF(H53&gt;=50,"C","D")))</f>
        <v/>
      </c>
    </row>
    <row r="54">
      <c r="A54" s="2" t="inlineStr">
        <is>
          <t>S053</t>
        </is>
      </c>
      <c r="B54" s="2" t="inlineStr">
        <is>
          <t>Female</t>
        </is>
      </c>
      <c r="C54" s="2" t="n">
        <v>2</v>
      </c>
      <c r="D54" s="3" t="n">
        <v>0.5</v>
      </c>
      <c r="E54" s="2" t="n">
        <v>28</v>
      </c>
      <c r="F54" s="2" t="n">
        <v>30</v>
      </c>
      <c r="G54" s="2" t="n">
        <v>38</v>
      </c>
      <c r="H54" s="2">
        <f>ROUND((E54+F54+G54)/3,1)</f>
        <v/>
      </c>
      <c r="I54" s="2">
        <f>IF(H54&gt;=80,"A",IF(H54&gt;=65,"B",IF(H54&gt;=50,"C","D")))</f>
        <v/>
      </c>
    </row>
    <row r="55">
      <c r="A55" s="4" t="inlineStr">
        <is>
          <t>S054</t>
        </is>
      </c>
      <c r="B55" s="4" t="inlineStr">
        <is>
          <t>Male</t>
        </is>
      </c>
      <c r="C55" s="4" t="n">
        <v>4</v>
      </c>
      <c r="D55" s="5" t="n">
        <v>0.82</v>
      </c>
      <c r="E55" s="4" t="n">
        <v>46</v>
      </c>
      <c r="F55" s="4" t="n">
        <v>56</v>
      </c>
      <c r="G55" s="4" t="n">
        <v>40</v>
      </c>
      <c r="H55" s="4">
        <f>ROUND((E55+F55+G55)/3,1)</f>
        <v/>
      </c>
      <c r="I55" s="4">
        <f>IF(H55&gt;=80,"A",IF(H55&gt;=65,"B",IF(H55&gt;=50,"C","D")))</f>
        <v/>
      </c>
    </row>
    <row r="56">
      <c r="A56" s="2" t="inlineStr">
        <is>
          <t>S055</t>
        </is>
      </c>
      <c r="B56" s="2" t="inlineStr">
        <is>
          <t>Female</t>
        </is>
      </c>
      <c r="C56" s="2" t="n">
        <v>4</v>
      </c>
      <c r="D56" s="3" t="n">
        <v>0.73</v>
      </c>
      <c r="E56" s="2" t="n">
        <v>45</v>
      </c>
      <c r="F56" s="2" t="n">
        <v>57</v>
      </c>
      <c r="G56" s="2" t="n">
        <v>53</v>
      </c>
      <c r="H56" s="2">
        <f>ROUND((E56+F56+G56)/3,1)</f>
        <v/>
      </c>
      <c r="I56" s="2">
        <f>IF(H56&gt;=80,"A",IF(H56&gt;=65,"B",IF(H56&gt;=50,"C","D")))</f>
        <v/>
      </c>
    </row>
    <row r="57">
      <c r="A57" s="4" t="inlineStr">
        <is>
          <t>S056</t>
        </is>
      </c>
      <c r="B57" s="4" t="inlineStr">
        <is>
          <t>Male</t>
        </is>
      </c>
      <c r="C57" s="4" t="n">
        <v>5</v>
      </c>
      <c r="D57" s="5" t="n">
        <v>0.89</v>
      </c>
      <c r="E57" s="4" t="n">
        <v>79</v>
      </c>
      <c r="F57" s="4" t="n">
        <v>66</v>
      </c>
      <c r="G57" s="4" t="n">
        <v>76</v>
      </c>
      <c r="H57" s="4">
        <f>ROUND((E57+F57+G57)/3,1)</f>
        <v/>
      </c>
      <c r="I57" s="4">
        <f>IF(H57&gt;=80,"A",IF(H57&gt;=65,"B",IF(H57&gt;=50,"C","D")))</f>
        <v/>
      </c>
    </row>
    <row r="58">
      <c r="A58" s="2" t="inlineStr">
        <is>
          <t>S057</t>
        </is>
      </c>
      <c r="B58" s="2" t="inlineStr">
        <is>
          <t>Female</t>
        </is>
      </c>
      <c r="C58" s="2" t="n">
        <v>5</v>
      </c>
      <c r="D58" s="3" t="n">
        <v>0.92</v>
      </c>
      <c r="E58" s="2" t="n">
        <v>51</v>
      </c>
      <c r="F58" s="2" t="n">
        <v>58</v>
      </c>
      <c r="G58" s="2" t="n">
        <v>46</v>
      </c>
      <c r="H58" s="2">
        <f>ROUND((E58+F58+G58)/3,1)</f>
        <v/>
      </c>
      <c r="I58" s="2">
        <f>IF(H58&gt;=80,"A",IF(H58&gt;=65,"B",IF(H58&gt;=50,"C","D")))</f>
        <v/>
      </c>
    </row>
    <row r="59">
      <c r="A59" s="4" t="inlineStr">
        <is>
          <t>S058</t>
        </is>
      </c>
      <c r="B59" s="4" t="inlineStr">
        <is>
          <t>Male</t>
        </is>
      </c>
      <c r="C59" s="4" t="n">
        <v>2</v>
      </c>
      <c r="D59" s="5" t="n">
        <v>0.97</v>
      </c>
      <c r="E59" s="4" t="n">
        <v>46</v>
      </c>
      <c r="F59" s="4" t="n">
        <v>53</v>
      </c>
      <c r="G59" s="4" t="n">
        <v>47</v>
      </c>
      <c r="H59" s="4">
        <f>ROUND((E59+F59+G59)/3,1)</f>
        <v/>
      </c>
      <c r="I59" s="4">
        <f>IF(H59&gt;=80,"A",IF(H59&gt;=65,"B",IF(H59&gt;=50,"C","D")))</f>
        <v/>
      </c>
    </row>
    <row r="60">
      <c r="A60" s="2" t="inlineStr">
        <is>
          <t>S059</t>
        </is>
      </c>
      <c r="B60" s="2" t="inlineStr">
        <is>
          <t>Female</t>
        </is>
      </c>
      <c r="C60" s="2" t="n">
        <v>10</v>
      </c>
      <c r="D60" s="3" t="n">
        <v>0.63</v>
      </c>
      <c r="E60" s="2" t="n">
        <v>86</v>
      </c>
      <c r="F60" s="2" t="n">
        <v>91</v>
      </c>
      <c r="G60" s="2" t="n">
        <v>92</v>
      </c>
      <c r="H60" s="2">
        <f>ROUND((E60+F60+G60)/3,1)</f>
        <v/>
      </c>
      <c r="I60" s="2">
        <f>IF(H60&gt;=80,"A",IF(H60&gt;=65,"B",IF(H60&gt;=50,"C","D")))</f>
        <v/>
      </c>
    </row>
    <row r="61">
      <c r="A61" s="4" t="inlineStr">
        <is>
          <t>S060</t>
        </is>
      </c>
      <c r="B61" s="4" t="inlineStr">
        <is>
          <t>Male</t>
        </is>
      </c>
      <c r="C61" s="4" t="n">
        <v>8</v>
      </c>
      <c r="D61" s="5" t="n">
        <v>0.66</v>
      </c>
      <c r="E61" s="4" t="n">
        <v>60</v>
      </c>
      <c r="F61" s="4" t="n">
        <v>74</v>
      </c>
      <c r="G61" s="4" t="n">
        <v>62</v>
      </c>
      <c r="H61" s="4">
        <f>ROUND((E61+F61+G61)/3,1)</f>
        <v/>
      </c>
      <c r="I61" s="4">
        <f>IF(H61&gt;=80,"A",IF(H61&gt;=65,"B",IF(H61&gt;=50,"C","D")))</f>
        <v/>
      </c>
    </row>
    <row r="62">
      <c r="A62" s="2" t="inlineStr">
        <is>
          <t>S061</t>
        </is>
      </c>
      <c r="B62" s="2" t="inlineStr">
        <is>
          <t>Female</t>
        </is>
      </c>
      <c r="C62" s="2" t="n">
        <v>1</v>
      </c>
      <c r="D62" s="3" t="n">
        <v>0.5</v>
      </c>
      <c r="E62" s="2" t="n">
        <v>26</v>
      </c>
      <c r="F62" s="2" t="n">
        <v>33</v>
      </c>
      <c r="G62" s="2" t="n">
        <v>23</v>
      </c>
      <c r="H62" s="2">
        <f>ROUND((E62+F62+G62)/3,1)</f>
        <v/>
      </c>
      <c r="I62" s="2">
        <f>IF(H62&gt;=80,"A",IF(H62&gt;=65,"B",IF(H62&gt;=50,"C","D")))</f>
        <v/>
      </c>
    </row>
    <row r="63">
      <c r="A63" s="4" t="inlineStr">
        <is>
          <t>S062</t>
        </is>
      </c>
      <c r="B63" s="4" t="inlineStr">
        <is>
          <t>Male</t>
        </is>
      </c>
      <c r="C63" s="4" t="n">
        <v>8</v>
      </c>
      <c r="D63" s="5" t="n">
        <v>0.85</v>
      </c>
      <c r="E63" s="4" t="n">
        <v>76</v>
      </c>
      <c r="F63" s="4" t="n">
        <v>82</v>
      </c>
      <c r="G63" s="4" t="n">
        <v>74</v>
      </c>
      <c r="H63" s="4">
        <f>ROUND((E63+F63+G63)/3,1)</f>
        <v/>
      </c>
      <c r="I63" s="4">
        <f>IF(H63&gt;=80,"A",IF(H63&gt;=65,"B",IF(H63&gt;=50,"C","D")))</f>
        <v/>
      </c>
    </row>
    <row r="64">
      <c r="A64" s="2" t="inlineStr">
        <is>
          <t>S063</t>
        </is>
      </c>
      <c r="B64" s="2" t="inlineStr">
        <is>
          <t>Female</t>
        </is>
      </c>
      <c r="C64" s="2" t="n">
        <v>3</v>
      </c>
      <c r="D64" s="3" t="n">
        <v>0.84</v>
      </c>
      <c r="E64" s="2" t="n">
        <v>40</v>
      </c>
      <c r="F64" s="2" t="n">
        <v>36</v>
      </c>
      <c r="G64" s="2" t="n">
        <v>38</v>
      </c>
      <c r="H64" s="2">
        <f>ROUND((E64+F64+G64)/3,1)</f>
        <v/>
      </c>
      <c r="I64" s="2">
        <f>IF(H64&gt;=80,"A",IF(H64&gt;=65,"B",IF(H64&gt;=50,"C","D")))</f>
        <v/>
      </c>
    </row>
    <row r="65">
      <c r="A65" s="4" t="inlineStr">
        <is>
          <t>S064</t>
        </is>
      </c>
      <c r="B65" s="4" t="inlineStr">
        <is>
          <t>Male</t>
        </is>
      </c>
      <c r="C65" s="4" t="n">
        <v>3</v>
      </c>
      <c r="D65" s="5" t="n">
        <v>0.52</v>
      </c>
      <c r="E65" s="4" t="n">
        <v>38</v>
      </c>
      <c r="F65" s="4" t="n">
        <v>31</v>
      </c>
      <c r="G65" s="4" t="n">
        <v>34</v>
      </c>
      <c r="H65" s="4">
        <f>ROUND((E65+F65+G65)/3,1)</f>
        <v/>
      </c>
      <c r="I65" s="4">
        <f>IF(H65&gt;=80,"A",IF(H65&gt;=65,"B",IF(H65&gt;=50,"C","D")))</f>
        <v/>
      </c>
    </row>
    <row r="66">
      <c r="A66" s="2" t="inlineStr">
        <is>
          <t>S065</t>
        </is>
      </c>
      <c r="B66" s="2" t="inlineStr">
        <is>
          <t>Female</t>
        </is>
      </c>
      <c r="C66" s="2" t="n">
        <v>4</v>
      </c>
      <c r="D66" s="3" t="n">
        <v>0.93</v>
      </c>
      <c r="E66" s="2" t="n">
        <v>47</v>
      </c>
      <c r="F66" s="2" t="n">
        <v>58</v>
      </c>
      <c r="G66" s="2" t="n">
        <v>57</v>
      </c>
      <c r="H66" s="2">
        <f>ROUND((E66+F66+G66)/3,1)</f>
        <v/>
      </c>
      <c r="I66" s="2">
        <f>IF(H66&gt;=80,"A",IF(H66&gt;=65,"B",IF(H66&gt;=50,"C","D")))</f>
        <v/>
      </c>
    </row>
    <row r="67">
      <c r="A67" s="4" t="inlineStr">
        <is>
          <t>S066</t>
        </is>
      </c>
      <c r="B67" s="4" t="inlineStr">
        <is>
          <t>Male</t>
        </is>
      </c>
      <c r="C67" s="4" t="n">
        <v>7</v>
      </c>
      <c r="D67" s="5" t="n">
        <v>0.89</v>
      </c>
      <c r="E67" s="4" t="n">
        <v>68</v>
      </c>
      <c r="F67" s="4" t="n">
        <v>69</v>
      </c>
      <c r="G67" s="4" t="n">
        <v>62</v>
      </c>
      <c r="H67" s="4">
        <f>ROUND((E67+F67+G67)/3,1)</f>
        <v/>
      </c>
      <c r="I67" s="4">
        <f>IF(H67&gt;=80,"A",IF(H67&gt;=65,"B",IF(H67&gt;=50,"C","D")))</f>
        <v/>
      </c>
    </row>
    <row r="68">
      <c r="A68" s="2" t="inlineStr">
        <is>
          <t>S067</t>
        </is>
      </c>
      <c r="B68" s="2" t="inlineStr">
        <is>
          <t>Female</t>
        </is>
      </c>
      <c r="C68" s="2" t="n">
        <v>7</v>
      </c>
      <c r="D68" s="3" t="n">
        <v>0.51</v>
      </c>
      <c r="E68" s="2" t="n">
        <v>61</v>
      </c>
      <c r="F68" s="2" t="n">
        <v>67</v>
      </c>
      <c r="G68" s="2" t="n">
        <v>55</v>
      </c>
      <c r="H68" s="2">
        <f>ROUND((E68+F68+G68)/3,1)</f>
        <v/>
      </c>
      <c r="I68" s="2">
        <f>IF(H68&gt;=80,"A",IF(H68&gt;=65,"B",IF(H68&gt;=50,"C","D")))</f>
        <v/>
      </c>
    </row>
    <row r="69">
      <c r="A69" s="4" t="inlineStr">
        <is>
          <t>S068</t>
        </is>
      </c>
      <c r="B69" s="4" t="inlineStr">
        <is>
          <t>Male</t>
        </is>
      </c>
      <c r="C69" s="4" t="n">
        <v>5</v>
      </c>
      <c r="D69" s="5" t="n">
        <v>0.6</v>
      </c>
      <c r="E69" s="4" t="n">
        <v>50</v>
      </c>
      <c r="F69" s="4" t="n">
        <v>42</v>
      </c>
      <c r="G69" s="4" t="n">
        <v>49</v>
      </c>
      <c r="H69" s="4">
        <f>ROUND((E69+F69+G69)/3,1)</f>
        <v/>
      </c>
      <c r="I69" s="4">
        <f>IF(H69&gt;=80,"A",IF(H69&gt;=65,"B",IF(H69&gt;=50,"C","D")))</f>
        <v/>
      </c>
    </row>
    <row r="70">
      <c r="A70" s="2" t="inlineStr">
        <is>
          <t>S069</t>
        </is>
      </c>
      <c r="B70" s="2" t="inlineStr">
        <is>
          <t>Female</t>
        </is>
      </c>
      <c r="C70" s="2" t="n">
        <v>4</v>
      </c>
      <c r="D70" s="3" t="n">
        <v>0.62</v>
      </c>
      <c r="E70" s="2" t="n">
        <v>53</v>
      </c>
      <c r="F70" s="2" t="n">
        <v>54</v>
      </c>
      <c r="G70" s="2" t="n">
        <v>45</v>
      </c>
      <c r="H70" s="2">
        <f>ROUND((E70+F70+G70)/3,1)</f>
        <v/>
      </c>
      <c r="I70" s="2">
        <f>IF(H70&gt;=80,"A",IF(H70&gt;=65,"B",IF(H70&gt;=50,"C","D")))</f>
        <v/>
      </c>
    </row>
    <row r="71">
      <c r="A71" s="4" t="inlineStr">
        <is>
          <t>S070</t>
        </is>
      </c>
      <c r="B71" s="4" t="inlineStr">
        <is>
          <t>Male</t>
        </is>
      </c>
      <c r="C71" s="4" t="n">
        <v>4</v>
      </c>
      <c r="D71" s="5" t="n">
        <v>0.51</v>
      </c>
      <c r="E71" s="4" t="n">
        <v>43</v>
      </c>
      <c r="F71" s="4" t="n">
        <v>44</v>
      </c>
      <c r="G71" s="4" t="n">
        <v>35</v>
      </c>
      <c r="H71" s="4">
        <f>ROUND((E71+F71+G71)/3,1)</f>
        <v/>
      </c>
      <c r="I71" s="4">
        <f>IF(H71&gt;=80,"A",IF(H71&gt;=65,"B",IF(H71&gt;=50,"C","D")))</f>
        <v/>
      </c>
    </row>
    <row r="72">
      <c r="A72" s="2" t="inlineStr">
        <is>
          <t>S071</t>
        </is>
      </c>
      <c r="B72" s="2" t="inlineStr">
        <is>
          <t>Female</t>
        </is>
      </c>
      <c r="C72" s="2" t="n">
        <v>2</v>
      </c>
      <c r="D72" s="3" t="n">
        <v>0.99</v>
      </c>
      <c r="E72" s="2" t="n">
        <v>44</v>
      </c>
      <c r="F72" s="2" t="n">
        <v>48</v>
      </c>
      <c r="G72" s="2" t="n">
        <v>46</v>
      </c>
      <c r="H72" s="2">
        <f>ROUND((E72+F72+G72)/3,1)</f>
        <v/>
      </c>
      <c r="I72" s="2">
        <f>IF(H72&gt;=80,"A",IF(H72&gt;=65,"B",IF(H72&gt;=50,"C","D")))</f>
        <v/>
      </c>
    </row>
    <row r="73">
      <c r="A73" s="4" t="inlineStr">
        <is>
          <t>S072</t>
        </is>
      </c>
      <c r="B73" s="4" t="inlineStr">
        <is>
          <t>Male</t>
        </is>
      </c>
      <c r="C73" s="4" t="n">
        <v>6</v>
      </c>
      <c r="D73" s="5" t="n">
        <v>0.51</v>
      </c>
      <c r="E73" s="4" t="n">
        <v>50</v>
      </c>
      <c r="F73" s="4" t="n">
        <v>50</v>
      </c>
      <c r="G73" s="4" t="n">
        <v>46</v>
      </c>
      <c r="H73" s="4">
        <f>ROUND((E73+F73+G73)/3,1)</f>
        <v/>
      </c>
      <c r="I73" s="4">
        <f>IF(H73&gt;=80,"A",IF(H73&gt;=65,"B",IF(H73&gt;=50,"C","D")))</f>
        <v/>
      </c>
    </row>
    <row r="74">
      <c r="A74" s="2" t="inlineStr">
        <is>
          <t>S073</t>
        </is>
      </c>
      <c r="B74" s="2" t="inlineStr">
        <is>
          <t>Female</t>
        </is>
      </c>
      <c r="C74" s="2" t="n">
        <v>1</v>
      </c>
      <c r="D74" s="3" t="n">
        <v>0.5600000000000001</v>
      </c>
      <c r="E74" s="2" t="n">
        <v>37</v>
      </c>
      <c r="F74" s="2" t="n">
        <v>38</v>
      </c>
      <c r="G74" s="2" t="n">
        <v>30</v>
      </c>
      <c r="H74" s="2">
        <f>ROUND((E74+F74+G74)/3,1)</f>
        <v/>
      </c>
      <c r="I74" s="2">
        <f>IF(H74&gt;=80,"A",IF(H74&gt;=65,"B",IF(H74&gt;=50,"C","D")))</f>
        <v/>
      </c>
    </row>
    <row r="75">
      <c r="A75" s="4" t="inlineStr">
        <is>
          <t>S074</t>
        </is>
      </c>
      <c r="B75" s="4" t="inlineStr">
        <is>
          <t>Male</t>
        </is>
      </c>
      <c r="C75" s="4" t="n">
        <v>7</v>
      </c>
      <c r="D75" s="5" t="n">
        <v>0.88</v>
      </c>
      <c r="E75" s="4" t="n">
        <v>76</v>
      </c>
      <c r="F75" s="4" t="n">
        <v>88</v>
      </c>
      <c r="G75" s="4" t="n">
        <v>75</v>
      </c>
      <c r="H75" s="4">
        <f>ROUND((E75+F75+G75)/3,1)</f>
        <v/>
      </c>
      <c r="I75" s="4">
        <f>IF(H75&gt;=80,"A",IF(H75&gt;=65,"B",IF(H75&gt;=50,"C","D")))</f>
        <v/>
      </c>
    </row>
    <row r="76">
      <c r="A76" s="2" t="inlineStr">
        <is>
          <t>S075</t>
        </is>
      </c>
      <c r="B76" s="2" t="inlineStr">
        <is>
          <t>Female</t>
        </is>
      </c>
      <c r="C76" s="2" t="n">
        <v>5</v>
      </c>
      <c r="D76" s="3" t="n">
        <v>0.52</v>
      </c>
      <c r="E76" s="2" t="n">
        <v>45</v>
      </c>
      <c r="F76" s="2" t="n">
        <v>54</v>
      </c>
      <c r="G76" s="2" t="n">
        <v>52</v>
      </c>
      <c r="H76" s="2">
        <f>ROUND((E76+F76+G76)/3,1)</f>
        <v/>
      </c>
      <c r="I76" s="2">
        <f>IF(H76&gt;=80,"A",IF(H76&gt;=65,"B",IF(H76&gt;=50,"C","D")))</f>
        <v/>
      </c>
    </row>
    <row r="77">
      <c r="A77" s="4" t="inlineStr">
        <is>
          <t>S076</t>
        </is>
      </c>
      <c r="B77" s="4" t="inlineStr">
        <is>
          <t>Male</t>
        </is>
      </c>
      <c r="C77" s="4" t="n">
        <v>7</v>
      </c>
      <c r="D77" s="5" t="n">
        <v>0.54</v>
      </c>
      <c r="E77" s="4" t="n">
        <v>67</v>
      </c>
      <c r="F77" s="4" t="n">
        <v>63</v>
      </c>
      <c r="G77" s="4" t="n">
        <v>62</v>
      </c>
      <c r="H77" s="4">
        <f>ROUND((E77+F77+G77)/3,1)</f>
        <v/>
      </c>
      <c r="I77" s="4">
        <f>IF(H77&gt;=80,"A",IF(H77&gt;=65,"B",IF(H77&gt;=50,"C","D")))</f>
        <v/>
      </c>
    </row>
    <row r="78">
      <c r="A78" s="2" t="inlineStr">
        <is>
          <t>S077</t>
        </is>
      </c>
      <c r="B78" s="2" t="inlineStr">
        <is>
          <t>Female</t>
        </is>
      </c>
      <c r="C78" s="2" t="n">
        <v>9</v>
      </c>
      <c r="D78" s="3" t="n">
        <v>0.6899999999999999</v>
      </c>
      <c r="E78" s="2" t="n">
        <v>88</v>
      </c>
      <c r="F78" s="2" t="n">
        <v>93</v>
      </c>
      <c r="G78" s="2" t="n">
        <v>83</v>
      </c>
      <c r="H78" s="2">
        <f>ROUND((E78+F78+G78)/3,1)</f>
        <v/>
      </c>
      <c r="I78" s="2">
        <f>IF(H78&gt;=80,"A",IF(H78&gt;=65,"B",IF(H78&gt;=50,"C","D")))</f>
        <v/>
      </c>
    </row>
    <row r="79">
      <c r="A79" s="4" t="inlineStr">
        <is>
          <t>S078</t>
        </is>
      </c>
      <c r="B79" s="4" t="inlineStr">
        <is>
          <t>Male</t>
        </is>
      </c>
      <c r="C79" s="4" t="n">
        <v>9</v>
      </c>
      <c r="D79" s="5" t="n">
        <v>0.58</v>
      </c>
      <c r="E79" s="4" t="n">
        <v>81</v>
      </c>
      <c r="F79" s="4" t="n">
        <v>83</v>
      </c>
      <c r="G79" s="4" t="n">
        <v>69</v>
      </c>
      <c r="H79" s="4">
        <f>ROUND((E79+F79+G79)/3,1)</f>
        <v/>
      </c>
      <c r="I79" s="4">
        <f>IF(H79&gt;=80,"A",IF(H79&gt;=65,"B",IF(H79&gt;=50,"C","D")))</f>
        <v/>
      </c>
    </row>
    <row r="80">
      <c r="A80" s="2" t="inlineStr">
        <is>
          <t>S079</t>
        </is>
      </c>
      <c r="B80" s="2" t="inlineStr">
        <is>
          <t>Female</t>
        </is>
      </c>
      <c r="C80" s="2" t="n">
        <v>10</v>
      </c>
      <c r="D80" s="3" t="n">
        <v>0.86</v>
      </c>
      <c r="E80" s="2" t="n">
        <v>98</v>
      </c>
      <c r="F80" s="2" t="n">
        <v>89</v>
      </c>
      <c r="G80" s="2" t="n">
        <v>91</v>
      </c>
      <c r="H80" s="2">
        <f>ROUND((E80+F80+G80)/3,1)</f>
        <v/>
      </c>
      <c r="I80" s="2">
        <f>IF(H80&gt;=80,"A",IF(H80&gt;=65,"B",IF(H80&gt;=50,"C","D")))</f>
        <v/>
      </c>
    </row>
    <row r="81">
      <c r="A81" s="4" t="inlineStr">
        <is>
          <t>S080</t>
        </is>
      </c>
      <c r="B81" s="4" t="inlineStr">
        <is>
          <t>Male</t>
        </is>
      </c>
      <c r="C81" s="4" t="n">
        <v>5</v>
      </c>
      <c r="D81" s="5" t="n">
        <v>0.63</v>
      </c>
      <c r="E81" s="4" t="n">
        <v>58</v>
      </c>
      <c r="F81" s="4" t="n">
        <v>65</v>
      </c>
      <c r="G81" s="4" t="n">
        <v>58</v>
      </c>
      <c r="H81" s="4">
        <f>ROUND((E81+F81+G81)/3,1)</f>
        <v/>
      </c>
      <c r="I81" s="4">
        <f>IF(H81&gt;=80,"A",IF(H81&gt;=65,"B",IF(H81&gt;=50,"C","D")))</f>
        <v/>
      </c>
    </row>
    <row r="82">
      <c r="A82" s="2" t="inlineStr">
        <is>
          <t>S081</t>
        </is>
      </c>
      <c r="B82" s="2" t="inlineStr">
        <is>
          <t>Female</t>
        </is>
      </c>
      <c r="C82" s="2" t="n">
        <v>8</v>
      </c>
      <c r="D82" s="3" t="n">
        <v>0.93</v>
      </c>
      <c r="E82" s="2" t="n">
        <v>87</v>
      </c>
      <c r="F82" s="2" t="n">
        <v>89</v>
      </c>
      <c r="G82" s="2" t="n">
        <v>72</v>
      </c>
      <c r="H82" s="2">
        <f>ROUND((E82+F82+G82)/3,1)</f>
        <v/>
      </c>
      <c r="I82" s="2">
        <f>IF(H82&gt;=80,"A",IF(H82&gt;=65,"B",IF(H82&gt;=50,"C","D")))</f>
        <v/>
      </c>
    </row>
    <row r="83">
      <c r="A83" s="4" t="inlineStr">
        <is>
          <t>S082</t>
        </is>
      </c>
      <c r="B83" s="4" t="inlineStr">
        <is>
          <t>Male</t>
        </is>
      </c>
      <c r="C83" s="4" t="n">
        <v>2</v>
      </c>
      <c r="D83" s="5" t="n">
        <v>0.68</v>
      </c>
      <c r="E83" s="4" t="n">
        <v>42</v>
      </c>
      <c r="F83" s="4" t="n">
        <v>37</v>
      </c>
      <c r="G83" s="4" t="n">
        <v>35</v>
      </c>
      <c r="H83" s="4">
        <f>ROUND((E83+F83+G83)/3,1)</f>
        <v/>
      </c>
      <c r="I83" s="4">
        <f>IF(H83&gt;=80,"A",IF(H83&gt;=65,"B",IF(H83&gt;=50,"C","D")))</f>
        <v/>
      </c>
    </row>
    <row r="84">
      <c r="A84" s="2" t="inlineStr">
        <is>
          <t>S083</t>
        </is>
      </c>
      <c r="B84" s="2" t="inlineStr">
        <is>
          <t>Female</t>
        </is>
      </c>
      <c r="C84" s="2" t="n">
        <v>5</v>
      </c>
      <c r="D84" s="3" t="n">
        <v>0.64</v>
      </c>
      <c r="E84" s="2" t="n">
        <v>46</v>
      </c>
      <c r="F84" s="2" t="n">
        <v>45</v>
      </c>
      <c r="G84" s="2" t="n">
        <v>39</v>
      </c>
      <c r="H84" s="2">
        <f>ROUND((E84+F84+G84)/3,1)</f>
        <v/>
      </c>
      <c r="I84" s="2">
        <f>IF(H84&gt;=80,"A",IF(H84&gt;=65,"B",IF(H84&gt;=50,"C","D")))</f>
        <v/>
      </c>
    </row>
    <row r="85">
      <c r="A85" s="4" t="inlineStr">
        <is>
          <t>S084</t>
        </is>
      </c>
      <c r="B85" s="4" t="inlineStr">
        <is>
          <t>Male</t>
        </is>
      </c>
      <c r="C85" s="4" t="n">
        <v>4</v>
      </c>
      <c r="D85" s="5" t="n">
        <v>0.8</v>
      </c>
      <c r="E85" s="4" t="n">
        <v>55</v>
      </c>
      <c r="F85" s="4" t="n">
        <v>70</v>
      </c>
      <c r="G85" s="4" t="n">
        <v>62</v>
      </c>
      <c r="H85" s="4">
        <f>ROUND((E85+F85+G85)/3,1)</f>
        <v/>
      </c>
      <c r="I85" s="4">
        <f>IF(H85&gt;=80,"A",IF(H85&gt;=65,"B",IF(H85&gt;=50,"C","D")))</f>
        <v/>
      </c>
    </row>
    <row r="86">
      <c r="A86" s="2" t="inlineStr">
        <is>
          <t>S085</t>
        </is>
      </c>
      <c r="B86" s="2" t="inlineStr">
        <is>
          <t>Female</t>
        </is>
      </c>
      <c r="C86" s="2" t="n">
        <v>10</v>
      </c>
      <c r="D86" s="3" t="n">
        <v>0.62</v>
      </c>
      <c r="E86" s="2" t="n">
        <v>97</v>
      </c>
      <c r="F86" s="2" t="n">
        <v>97</v>
      </c>
      <c r="G86" s="2" t="n">
        <v>85</v>
      </c>
      <c r="H86" s="2">
        <f>ROUND((E86+F86+G86)/3,1)</f>
        <v/>
      </c>
      <c r="I86" s="2">
        <f>IF(H86&gt;=80,"A",IF(H86&gt;=65,"B",IF(H86&gt;=50,"C","D")))</f>
        <v/>
      </c>
    </row>
    <row r="87">
      <c r="A87" s="4" t="inlineStr">
        <is>
          <t>S086</t>
        </is>
      </c>
      <c r="B87" s="4" t="inlineStr">
        <is>
          <t>Male</t>
        </is>
      </c>
      <c r="C87" s="4" t="n">
        <v>3</v>
      </c>
      <c r="D87" s="5" t="n">
        <v>0.91</v>
      </c>
      <c r="E87" s="4" t="n">
        <v>33</v>
      </c>
      <c r="F87" s="4" t="n">
        <v>46</v>
      </c>
      <c r="G87" s="4" t="n">
        <v>33</v>
      </c>
      <c r="H87" s="4">
        <f>ROUND((E87+F87+G87)/3,1)</f>
        <v/>
      </c>
      <c r="I87" s="4">
        <f>IF(H87&gt;=80,"A",IF(H87&gt;=65,"B",IF(H87&gt;=50,"C","D")))</f>
        <v/>
      </c>
    </row>
    <row r="88">
      <c r="A88" s="2" t="inlineStr">
        <is>
          <t>S087</t>
        </is>
      </c>
      <c r="B88" s="2" t="inlineStr">
        <is>
          <t>Female</t>
        </is>
      </c>
      <c r="C88" s="2" t="n">
        <v>3</v>
      </c>
      <c r="D88" s="3" t="n">
        <v>0.9399999999999999</v>
      </c>
      <c r="E88" s="2" t="n">
        <v>61</v>
      </c>
      <c r="F88" s="2" t="n">
        <v>51</v>
      </c>
      <c r="G88" s="2" t="n">
        <v>60</v>
      </c>
      <c r="H88" s="2">
        <f>ROUND((E88+F88+G88)/3,1)</f>
        <v/>
      </c>
      <c r="I88" s="2">
        <f>IF(H88&gt;=80,"A",IF(H88&gt;=65,"B",IF(H88&gt;=50,"C","D")))</f>
        <v/>
      </c>
    </row>
    <row r="89">
      <c r="A89" s="4" t="inlineStr">
        <is>
          <t>S088</t>
        </is>
      </c>
      <c r="B89" s="4" t="inlineStr">
        <is>
          <t>Male</t>
        </is>
      </c>
      <c r="C89" s="4" t="n">
        <v>4</v>
      </c>
      <c r="D89" s="5" t="n">
        <v>0.57</v>
      </c>
      <c r="E89" s="4" t="n">
        <v>45</v>
      </c>
      <c r="F89" s="4" t="n">
        <v>58</v>
      </c>
      <c r="G89" s="4" t="n">
        <v>53</v>
      </c>
      <c r="H89" s="4">
        <f>ROUND((E89+F89+G89)/3,1)</f>
        <v/>
      </c>
      <c r="I89" s="4">
        <f>IF(H89&gt;=80,"A",IF(H89&gt;=65,"B",IF(H89&gt;=50,"C","D")))</f>
        <v/>
      </c>
    </row>
    <row r="90">
      <c r="A90" s="2" t="inlineStr">
        <is>
          <t>S089</t>
        </is>
      </c>
      <c r="B90" s="2" t="inlineStr">
        <is>
          <t>Female</t>
        </is>
      </c>
      <c r="C90" s="2" t="n">
        <v>9</v>
      </c>
      <c r="D90" s="3" t="n">
        <v>0.88</v>
      </c>
      <c r="E90" s="2" t="n">
        <v>95</v>
      </c>
      <c r="F90" s="2" t="n">
        <v>97</v>
      </c>
      <c r="G90" s="2" t="n">
        <v>55</v>
      </c>
      <c r="H90" s="2">
        <f>ROUND((E90+F90+G90)/3,1)</f>
        <v/>
      </c>
      <c r="I90" s="2">
        <f>IF(H90&gt;=80,"A",IF(H90&gt;=65,"B",IF(H90&gt;=50,"C","D")))</f>
        <v/>
      </c>
    </row>
    <row r="91">
      <c r="A91" s="4" t="inlineStr">
        <is>
          <t>S090</t>
        </is>
      </c>
      <c r="B91" s="4" t="inlineStr">
        <is>
          <t>Male</t>
        </is>
      </c>
      <c r="C91" s="4" t="n">
        <v>8</v>
      </c>
      <c r="D91" s="5" t="n">
        <v>0.6</v>
      </c>
      <c r="E91" s="4" t="n">
        <v>85</v>
      </c>
      <c r="F91" s="4" t="n">
        <v>82</v>
      </c>
      <c r="G91" s="4" t="n">
        <v>74</v>
      </c>
      <c r="H91" s="4">
        <f>ROUND((E91+F91+G91)/3,1)</f>
        <v/>
      </c>
      <c r="I91" s="4">
        <f>IF(H91&gt;=80,"A",IF(H91&gt;=65,"B",IF(H91&gt;=50,"C","D")))</f>
        <v/>
      </c>
    </row>
    <row r="92">
      <c r="A92" s="2" t="inlineStr">
        <is>
          <t>S091</t>
        </is>
      </c>
      <c r="B92" s="2" t="inlineStr">
        <is>
          <t>Female</t>
        </is>
      </c>
      <c r="C92" s="2" t="n">
        <v>5</v>
      </c>
      <c r="D92" s="3" t="n">
        <v>0.99</v>
      </c>
      <c r="E92" s="2" t="n">
        <v>77</v>
      </c>
      <c r="F92" s="2" t="n">
        <v>72</v>
      </c>
      <c r="G92" s="2" t="n">
        <v>66</v>
      </c>
      <c r="H92" s="2">
        <f>ROUND((E92+F92+G92)/3,1)</f>
        <v/>
      </c>
      <c r="I92" s="2">
        <f>IF(H92&gt;=80,"A",IF(H92&gt;=65,"B",IF(H92&gt;=50,"C","D")))</f>
        <v/>
      </c>
    </row>
    <row r="93">
      <c r="A93" s="4" t="inlineStr">
        <is>
          <t>S092</t>
        </is>
      </c>
      <c r="B93" s="4" t="inlineStr">
        <is>
          <t>Male</t>
        </is>
      </c>
      <c r="C93" s="4" t="n">
        <v>8</v>
      </c>
      <c r="D93" s="5" t="n">
        <v>0.54</v>
      </c>
      <c r="E93" s="4" t="n">
        <v>70</v>
      </c>
      <c r="F93" s="4" t="n">
        <v>74</v>
      </c>
      <c r="G93" s="4" t="n">
        <v>69</v>
      </c>
      <c r="H93" s="4">
        <f>ROUND((E93+F93+G93)/3,1)</f>
        <v/>
      </c>
      <c r="I93" s="4">
        <f>IF(H93&gt;=80,"A",IF(H93&gt;=65,"B",IF(H93&gt;=50,"C","D")))</f>
        <v/>
      </c>
    </row>
    <row r="94">
      <c r="A94" s="2" t="inlineStr">
        <is>
          <t>S093</t>
        </is>
      </c>
      <c r="B94" s="2" t="inlineStr">
        <is>
          <t>Female</t>
        </is>
      </c>
      <c r="C94" s="2" t="n">
        <v>6</v>
      </c>
      <c r="D94" s="3" t="n">
        <v>0.84</v>
      </c>
      <c r="E94" s="2" t="n">
        <v>55</v>
      </c>
      <c r="F94" s="2" t="n">
        <v>58</v>
      </c>
      <c r="G94" s="2" t="n">
        <v>54</v>
      </c>
      <c r="H94" s="2">
        <f>ROUND((E94+F94+G94)/3,1)</f>
        <v/>
      </c>
      <c r="I94" s="2">
        <f>IF(H94&gt;=80,"A",IF(H94&gt;=65,"B",IF(H94&gt;=50,"C","D")))</f>
        <v/>
      </c>
    </row>
    <row r="95">
      <c r="A95" s="4" t="inlineStr">
        <is>
          <t>S094</t>
        </is>
      </c>
      <c r="B95" s="4" t="inlineStr">
        <is>
          <t>Male</t>
        </is>
      </c>
      <c r="C95" s="4" t="n">
        <v>7</v>
      </c>
      <c r="D95" s="5" t="n">
        <v>0.9399999999999999</v>
      </c>
      <c r="E95" s="4" t="n">
        <v>69</v>
      </c>
      <c r="F95" s="4" t="n">
        <v>68</v>
      </c>
      <c r="G95" s="4" t="n">
        <v>72</v>
      </c>
      <c r="H95" s="4">
        <f>ROUND((E95+F95+G95)/3,1)</f>
        <v/>
      </c>
      <c r="I95" s="4">
        <f>IF(H95&gt;=80,"A",IF(H95&gt;=65,"B",IF(H95&gt;=50,"C","D")))</f>
        <v/>
      </c>
    </row>
    <row r="96">
      <c r="A96" s="2" t="inlineStr">
        <is>
          <t>S095</t>
        </is>
      </c>
      <c r="B96" s="2" t="inlineStr">
        <is>
          <t>Female</t>
        </is>
      </c>
      <c r="C96" s="2" t="n">
        <v>7</v>
      </c>
      <c r="D96" s="3" t="n">
        <v>0.71</v>
      </c>
      <c r="E96" s="2" t="n">
        <v>83</v>
      </c>
      <c r="F96" s="2" t="n">
        <v>85</v>
      </c>
      <c r="G96" s="2" t="n">
        <v>66</v>
      </c>
      <c r="H96" s="2">
        <f>ROUND((E96+F96+G96)/3,1)</f>
        <v/>
      </c>
      <c r="I96" s="2">
        <f>IF(H96&gt;=80,"A",IF(H96&gt;=65,"B",IF(H96&gt;=50,"C","D")))</f>
        <v/>
      </c>
    </row>
    <row r="97">
      <c r="A97" s="4" t="inlineStr">
        <is>
          <t>S096</t>
        </is>
      </c>
      <c r="B97" s="4" t="inlineStr">
        <is>
          <t>Male</t>
        </is>
      </c>
      <c r="C97" s="4" t="n">
        <v>4</v>
      </c>
      <c r="D97" s="5" t="n">
        <v>0.76</v>
      </c>
      <c r="E97" s="4" t="n">
        <v>44</v>
      </c>
      <c r="F97" s="4" t="n">
        <v>59</v>
      </c>
      <c r="G97" s="4" t="n">
        <v>55</v>
      </c>
      <c r="H97" s="4">
        <f>ROUND((E97+F97+G97)/3,1)</f>
        <v/>
      </c>
      <c r="I97" s="4">
        <f>IF(H97&gt;=80,"A",IF(H97&gt;=65,"B",IF(H97&gt;=50,"C","D")))</f>
        <v/>
      </c>
    </row>
    <row r="98">
      <c r="A98" s="2" t="inlineStr">
        <is>
          <t>S097</t>
        </is>
      </c>
      <c r="B98" s="2" t="inlineStr">
        <is>
          <t>Female</t>
        </is>
      </c>
      <c r="C98" s="2" t="n">
        <v>1</v>
      </c>
      <c r="D98" s="3" t="n">
        <v>0.72</v>
      </c>
      <c r="E98" s="2" t="n">
        <v>34</v>
      </c>
      <c r="F98" s="2" t="n">
        <v>38</v>
      </c>
      <c r="G98" s="2" t="n">
        <v>35</v>
      </c>
      <c r="H98" s="2">
        <f>ROUND((E98+F98+G98)/3,1)</f>
        <v/>
      </c>
      <c r="I98" s="2">
        <f>IF(H98&gt;=80,"A",IF(H98&gt;=65,"B",IF(H98&gt;=50,"C","D")))</f>
        <v/>
      </c>
    </row>
    <row r="99">
      <c r="A99" s="4" t="inlineStr">
        <is>
          <t>S098</t>
        </is>
      </c>
      <c r="B99" s="4" t="inlineStr">
        <is>
          <t>Male</t>
        </is>
      </c>
      <c r="C99" s="4" t="n">
        <v>9</v>
      </c>
      <c r="D99" s="5" t="n">
        <v>0.88</v>
      </c>
      <c r="E99" s="4" t="n">
        <v>93</v>
      </c>
      <c r="F99" s="4" t="n">
        <v>88</v>
      </c>
      <c r="G99" s="4" t="n">
        <v>82</v>
      </c>
      <c r="H99" s="4">
        <f>ROUND((E99+F99+G99)/3,1)</f>
        <v/>
      </c>
      <c r="I99" s="4">
        <f>IF(H99&gt;=80,"A",IF(H99&gt;=65,"B",IF(H99&gt;=50,"C","D")))</f>
        <v/>
      </c>
    </row>
    <row r="100">
      <c r="A100" s="2" t="inlineStr">
        <is>
          <t>S099</t>
        </is>
      </c>
      <c r="B100" s="2" t="inlineStr">
        <is>
          <t>Female</t>
        </is>
      </c>
      <c r="C100" s="2" t="n">
        <v>7</v>
      </c>
      <c r="D100" s="3" t="n">
        <v>0.8100000000000001</v>
      </c>
      <c r="E100" s="2" t="n">
        <v>67</v>
      </c>
      <c r="F100" s="2" t="n">
        <v>68</v>
      </c>
      <c r="G100" s="2" t="n">
        <v>63</v>
      </c>
      <c r="H100" s="2">
        <f>ROUND((E100+F100+G100)/3,1)</f>
        <v/>
      </c>
      <c r="I100" s="2">
        <f>IF(H100&gt;=80,"A",IF(H100&gt;=65,"B",IF(H100&gt;=50,"C","D")))</f>
        <v/>
      </c>
    </row>
    <row r="101">
      <c r="A101" s="4" t="inlineStr">
        <is>
          <t>S100</t>
        </is>
      </c>
      <c r="B101" s="4" t="inlineStr">
        <is>
          <t>Male</t>
        </is>
      </c>
      <c r="C101" s="4" t="n">
        <v>3</v>
      </c>
      <c r="D101" s="5" t="n">
        <v>0.79</v>
      </c>
      <c r="E101" s="4" t="n">
        <v>30</v>
      </c>
      <c r="F101" s="4" t="n">
        <v>45</v>
      </c>
      <c r="G101" s="4" t="n">
        <v>26</v>
      </c>
      <c r="H101" s="4">
        <f>ROUND((E101+F101+G101)/3,1)</f>
        <v/>
      </c>
      <c r="I101" s="4">
        <f>IF(H101&gt;=80,"A",IF(H101&gt;=65,"B",IF(H101&gt;=50,"C","D")))</f>
        <v/>
      </c>
    </row>
    <row r="102">
      <c r="A102" s="6" t="inlineStr">
        <is>
          <t>AVERAGE</t>
        </is>
      </c>
      <c r="E102" s="7">
        <f>ROUND(AVERAGE(E2:E101),1)</f>
        <v/>
      </c>
      <c r="F102" s="7">
        <f>ROUND(AVERAGE(F2:F101),1)</f>
        <v/>
      </c>
      <c r="G102" s="7">
        <f>ROUND(AVERAGE(G2:G101),1)</f>
        <v/>
      </c>
      <c r="H102" s="7">
        <f>ROUND(AVERAGE(H2:H101),1)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2026-04-24T07:42:29Z</dcterms:created>
  <dcterms:modified xmlns:dcterms="http://purl.org/dc/terms/" xmlns:xsi="http://www.w3.org/2001/XMLSchema-instance" xsi:type="dcterms:W3CDTF">2026-04-24T07:42:30Z</dcterms:modified>
</cp:coreProperties>
</file>